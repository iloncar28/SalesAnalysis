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vs\Desktop\Dvs\Triumph\SalesAnalysis\test\"/>
    </mc:Choice>
  </mc:AlternateContent>
  <xr:revisionPtr revIDLastSave="0" documentId="13_ncr:1_{654276C7-3CD2-44EB-85A5-3B233CDC2C77}" xr6:coauthVersionLast="47" xr6:coauthVersionMax="47" xr10:uidLastSave="{00000000-0000-0000-0000-000000000000}"/>
  <bookViews>
    <workbookView xWindow="3180" yWindow="1605" windowWidth="21045" windowHeight="18915" activeTab="5" xr2:uid="{00000000-000D-0000-FFFF-FFFF00000000}"/>
  </bookViews>
  <sheets>
    <sheet name="FX" sheetId="1" r:id="rId1"/>
    <sheet name="AOP" sheetId="2" r:id="rId2"/>
    <sheet name="OrderType" sheetId="3" r:id="rId3"/>
    <sheet name="NRCs" sheetId="4" r:id="rId4"/>
    <sheet name="OtherForcast" sheetId="5" r:id="rId5"/>
    <sheet name="ProductLin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5" l="1"/>
  <c r="H4" i="5"/>
  <c r="H2" i="5"/>
  <c r="C46" i="2" l="1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Brito Castillo, Silvana Paula</author>
  </authors>
  <commentList>
    <comment ref="B2" authorId="0" shapeId="0" xr:uid="{D7243812-F90D-4788-8D53-E745894F88E6}">
      <text>
        <r>
          <rPr>
            <sz val="9"/>
            <color indexed="81"/>
            <rFont val="Tahoma"/>
            <family val="2"/>
          </rPr>
          <t>See chart in Column L</t>
        </r>
      </text>
    </comment>
    <comment ref="B3" authorId="0" shapeId="0" xr:uid="{0930848E-0F22-4390-9E6C-A3B141D7558B}">
      <text>
        <r>
          <rPr>
            <sz val="9"/>
            <color indexed="81"/>
            <rFont val="Tahoma"/>
            <family val="2"/>
          </rPr>
          <t>See chart in Column L</t>
        </r>
      </text>
    </comment>
    <comment ref="B4" authorId="0" shapeId="0" xr:uid="{665DD37B-1088-404C-B4F7-AB0C80DE77D6}">
      <text>
        <r>
          <rPr>
            <sz val="9"/>
            <color indexed="81"/>
            <rFont val="Tahoma"/>
            <family val="2"/>
          </rPr>
          <t>See chart in Column L</t>
        </r>
      </text>
    </comment>
  </commentList>
</comments>
</file>

<file path=xl/sharedStrings.xml><?xml version="1.0" encoding="utf-8"?>
<sst xmlns="http://schemas.openxmlformats.org/spreadsheetml/2006/main" count="152" uniqueCount="72">
  <si>
    <t>Month</t>
  </si>
  <si>
    <t>Year</t>
  </si>
  <si>
    <t>Concatena</t>
  </si>
  <si>
    <t>FY</t>
  </si>
  <si>
    <t>FY 25</t>
  </si>
  <si>
    <t>FY 26</t>
  </si>
  <si>
    <t>FY 26.2</t>
  </si>
  <si>
    <t>FY 27</t>
  </si>
  <si>
    <t>Spares customers</t>
  </si>
  <si>
    <t>SPARES</t>
  </si>
  <si>
    <t>MRO</t>
  </si>
  <si>
    <t>Nothing Yet - Part 145 will be there when it comes</t>
  </si>
  <si>
    <t>OEM</t>
  </si>
  <si>
    <t>Everything else, including repairs, NRCs, RMVA</t>
  </si>
  <si>
    <t>Item = REPAIR</t>
  </si>
  <si>
    <t>RMVA</t>
  </si>
  <si>
    <t>All parts starting with "TM"</t>
  </si>
  <si>
    <t>Item</t>
  </si>
  <si>
    <t>Description</t>
  </si>
  <si>
    <t>Due Date</t>
  </si>
  <si>
    <t>Name</t>
  </si>
  <si>
    <t>Net Price USD</t>
  </si>
  <si>
    <t>Orderbook</t>
  </si>
  <si>
    <t>Replacement of old cover</t>
  </si>
  <si>
    <t>DDP</t>
  </si>
  <si>
    <t>Other Forecast</t>
  </si>
  <si>
    <t>EUR to USD</t>
  </si>
  <si>
    <t>EUR to GBP</t>
  </si>
  <si>
    <t>USD to EUR</t>
  </si>
  <si>
    <t>USD to GBP</t>
  </si>
  <si>
    <t>GBP to USD</t>
  </si>
  <si>
    <t>GBP to EUR</t>
  </si>
  <si>
    <t>ALLIANCE PLPL</t>
  </si>
  <si>
    <t>PTY MTY DD</t>
  </si>
  <si>
    <t>AUTOBUS KREMENKO</t>
  </si>
  <si>
    <t>Preliminary Design Review</t>
  </si>
  <si>
    <t>Critical Design Review</t>
  </si>
  <si>
    <t>First delivery + PSR</t>
  </si>
  <si>
    <t>Design Test</t>
  </si>
  <si>
    <t>Redesign covers</t>
  </si>
  <si>
    <t>Switch Redesign</t>
  </si>
  <si>
    <t>cost // CDR</t>
  </si>
  <si>
    <t>DDP/FAI</t>
  </si>
  <si>
    <t xml:space="preserve"> New Generation</t>
  </si>
  <si>
    <t>Retrofit ATR</t>
  </si>
  <si>
    <t>ext. cable (1 Prototype)</t>
  </si>
  <si>
    <t>Redesign</t>
  </si>
  <si>
    <t>Deutsche GmbH</t>
  </si>
  <si>
    <t>IDUS space</t>
  </si>
  <si>
    <t>LINDENBERG</t>
  </si>
  <si>
    <t>BAE</t>
  </si>
  <si>
    <t>FRANCE</t>
  </si>
  <si>
    <t>Sacraft</t>
  </si>
  <si>
    <t>Item 1</t>
  </si>
  <si>
    <t>Item 2</t>
  </si>
  <si>
    <t>Order Type</t>
  </si>
  <si>
    <t>Name (customer)</t>
  </si>
  <si>
    <t>Net Price</t>
  </si>
  <si>
    <t>Currency</t>
  </si>
  <si>
    <t>TO USD</t>
  </si>
  <si>
    <t>Prices</t>
  </si>
  <si>
    <t>USD</t>
  </si>
  <si>
    <t xml:space="preserve"> Pricing</t>
  </si>
  <si>
    <t>GMBH</t>
  </si>
  <si>
    <t>Value</t>
  </si>
  <si>
    <t>P/N</t>
  </si>
  <si>
    <t>Desc</t>
  </si>
  <si>
    <t>Clasification</t>
  </si>
  <si>
    <t>CABLE</t>
  </si>
  <si>
    <t>Cables</t>
  </si>
  <si>
    <t>TELESCOPE</t>
  </si>
  <si>
    <t>COLLAR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</si>
</sst>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£&quot;* #,##0.00_-;\-&quot;£&quot;* #,##0.00_-;_-&quot;£&quot;* &quot;-&quot;??_-;_-@_-"/>
  </numFmts>
  <fonts count="2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9"/>
      <color indexed="81"/>
      <name val="Tahoma"/>
      <family val="2"/>
    </font>
    <font>
      <b/>
      <sz val="11"/>
      <color rgb="FF00206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0" applyNumberFormat="0" applyBorder="0" applyAlignment="0" applyProtection="0"/>
    <xf numFmtId="0" fontId="11" fillId="8" borderId="4" applyNumberFormat="0" applyAlignment="0" applyProtection="0"/>
    <xf numFmtId="0" fontId="12" fillId="9" borderId="5" applyNumberFormat="0" applyAlignment="0" applyProtection="0"/>
    <xf numFmtId="0" fontId="13" fillId="9" borderId="4" applyNumberFormat="0" applyAlignment="0" applyProtection="0"/>
    <xf numFmtId="0" fontId="14" fillId="0" borderId="6" applyNumberFormat="0" applyFill="0" applyAlignment="0" applyProtection="0"/>
    <xf numFmtId="0" fontId="15" fillId="10" borderId="7" applyNumberFormat="0" applyAlignment="0" applyProtection="0"/>
    <xf numFmtId="0" fontId="16" fillId="0" borderId="0" applyNumberFormat="0" applyFill="0" applyBorder="0" applyAlignment="0" applyProtection="0"/>
    <xf numFmtId="0" fontId="3" fillId="11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19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19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19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19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19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  <xf numFmtId="0" fontId="3" fillId="35" borderId="0" applyNumberFormat="0" applyBorder="0" applyAlignment="0" applyProtection="0"/>
    <xf numFmtId="164" fontId="20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0" fillId="0" borderId="0" xfId="0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/>
    <xf numFmtId="14" fontId="0" fillId="0" borderId="0" xfId="0" applyNumberFormat="1"/>
    <xf numFmtId="1" fontId="0" fillId="0" borderId="0" xfId="0" applyNumberFormat="1" applyAlignment="1">
      <alignment horizontal="center" vertical="center"/>
    </xf>
    <xf numFmtId="4" fontId="0" fillId="0" borderId="0" xfId="0" applyNumberFormat="1"/>
    <xf numFmtId="9" fontId="0" fillId="0" borderId="0" xfId="0" applyNumberFormat="1"/>
    <xf numFmtId="0" fontId="0" fillId="0" borderId="0" xfId="0" applyAlignment="1">
      <alignment vertical="center" wrapText="1"/>
    </xf>
    <xf numFmtId="0" fontId="0" fillId="36" borderId="0" xfId="0" applyFill="1"/>
    <xf numFmtId="0" fontId="0" fillId="36" borderId="0" xfId="0" applyFill="1" applyAlignment="1">
      <alignment horizontal="center" vertical="center"/>
    </xf>
    <xf numFmtId="0" fontId="16" fillId="3" borderId="0" xfId="0" applyFont="1" applyFill="1" applyAlignment="1">
      <alignment horizontal="left"/>
    </xf>
    <xf numFmtId="0" fontId="16" fillId="3" borderId="0" xfId="0" applyFont="1" applyFill="1" applyAlignment="1">
      <alignment horizontal="center" vertical="center"/>
    </xf>
    <xf numFmtId="0" fontId="16" fillId="3" borderId="0" xfId="0" applyFont="1" applyFill="1"/>
    <xf numFmtId="3" fontId="16" fillId="3" borderId="0" xfId="0" applyNumberFormat="1" applyFont="1" applyFill="1"/>
    <xf numFmtId="49" fontId="22" fillId="0" borderId="0" xfId="0" applyNumberFormat="1" applyFont="1"/>
    <xf numFmtId="0" fontId="18" fillId="0" borderId="0" xfId="0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 2" xfId="42" xr:uid="{B8A83961-42FD-4B29-9D38-B3CF5EDD72A5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D7" sqref="D7"/>
    </sheetView>
  </sheetViews>
  <sheetFormatPr defaultRowHeight="15" x14ac:dyDescent="0.25"/>
  <cols>
    <col min="1" max="1" width="19.85546875" bestFit="1" customWidth="1"/>
  </cols>
  <sheetData>
    <row r="1" spans="1:2" x14ac:dyDescent="0.25">
      <c r="A1" t="s">
        <v>58</v>
      </c>
      <c r="B1" s="10" t="s">
        <v>64</v>
      </c>
    </row>
    <row r="2" spans="1:2" x14ac:dyDescent="0.25">
      <c r="A2" t="s">
        <v>26</v>
      </c>
      <c r="B2">
        <v>1.1000000000000001</v>
      </c>
    </row>
    <row r="3" spans="1:2" x14ac:dyDescent="0.25">
      <c r="A3" t="s">
        <v>27</v>
      </c>
      <c r="B3">
        <v>0.85</v>
      </c>
    </row>
    <row r="4" spans="1:2" x14ac:dyDescent="0.25">
      <c r="A4" t="s">
        <v>28</v>
      </c>
      <c r="B4">
        <v>0.86253999999999997</v>
      </c>
    </row>
    <row r="5" spans="1:2" ht="30" x14ac:dyDescent="0.25">
      <c r="A5" s="11" t="s">
        <v>29</v>
      </c>
      <c r="B5" s="11">
        <v>0.75</v>
      </c>
    </row>
    <row r="6" spans="1:2" ht="30" x14ac:dyDescent="0.25">
      <c r="A6" s="11" t="s">
        <v>30</v>
      </c>
      <c r="B6" s="11">
        <v>1.34</v>
      </c>
    </row>
    <row r="7" spans="1:2" ht="30" x14ac:dyDescent="0.25">
      <c r="A7" s="11" t="s">
        <v>31</v>
      </c>
      <c r="B7" s="11">
        <v>1.1399999999999999</v>
      </c>
    </row>
    <row r="8" spans="1:2" x14ac:dyDescent="0.25">
      <c r="B8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64956-9115-4EAA-9B42-8CB5927D55D3}">
  <dimension ref="A1:D46"/>
  <sheetViews>
    <sheetView workbookViewId="0">
      <selection sqref="A1:XFD1"/>
    </sheetView>
  </sheetViews>
  <sheetFormatPr defaultRowHeight="15" x14ac:dyDescent="0.25"/>
  <cols>
    <col min="3" max="3" width="10.28515625" bestFit="1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3" t="s">
        <v>3</v>
      </c>
    </row>
    <row r="2" spans="1:4" x14ac:dyDescent="0.25">
      <c r="A2">
        <v>4</v>
      </c>
      <c r="B2">
        <v>2024</v>
      </c>
      <c r="C2" t="str">
        <f>+A2&amp;B2</f>
        <v>42024</v>
      </c>
      <c r="D2" t="s">
        <v>4</v>
      </c>
    </row>
    <row r="3" spans="1:4" x14ac:dyDescent="0.25">
      <c r="A3">
        <v>5</v>
      </c>
      <c r="B3">
        <v>2024</v>
      </c>
      <c r="C3" t="str">
        <f t="shared" ref="C3:C46" si="0">+A3&amp;B3</f>
        <v>52024</v>
      </c>
      <c r="D3" t="s">
        <v>4</v>
      </c>
    </row>
    <row r="4" spans="1:4" x14ac:dyDescent="0.25">
      <c r="A4">
        <v>6</v>
      </c>
      <c r="B4">
        <v>2024</v>
      </c>
      <c r="C4" t="str">
        <f t="shared" si="0"/>
        <v>62024</v>
      </c>
      <c r="D4" t="s">
        <v>4</v>
      </c>
    </row>
    <row r="5" spans="1:4" x14ac:dyDescent="0.25">
      <c r="A5">
        <v>7</v>
      </c>
      <c r="B5">
        <v>2024</v>
      </c>
      <c r="C5" t="str">
        <f t="shared" si="0"/>
        <v>72024</v>
      </c>
      <c r="D5" t="s">
        <v>4</v>
      </c>
    </row>
    <row r="6" spans="1:4" x14ac:dyDescent="0.25">
      <c r="A6">
        <v>8</v>
      </c>
      <c r="B6">
        <v>2024</v>
      </c>
      <c r="C6" t="str">
        <f t="shared" si="0"/>
        <v>82024</v>
      </c>
      <c r="D6" t="s">
        <v>4</v>
      </c>
    </row>
    <row r="7" spans="1:4" x14ac:dyDescent="0.25">
      <c r="A7">
        <v>9</v>
      </c>
      <c r="B7">
        <v>2024</v>
      </c>
      <c r="C7" t="str">
        <f t="shared" si="0"/>
        <v>92024</v>
      </c>
      <c r="D7" t="s">
        <v>4</v>
      </c>
    </row>
    <row r="8" spans="1:4" x14ac:dyDescent="0.25">
      <c r="A8">
        <v>10</v>
      </c>
      <c r="B8">
        <v>2024</v>
      </c>
      <c r="C8" t="str">
        <f t="shared" si="0"/>
        <v>102024</v>
      </c>
      <c r="D8" t="s">
        <v>4</v>
      </c>
    </row>
    <row r="9" spans="1:4" x14ac:dyDescent="0.25">
      <c r="A9">
        <v>11</v>
      </c>
      <c r="B9">
        <v>2024</v>
      </c>
      <c r="C9" t="str">
        <f t="shared" si="0"/>
        <v>112024</v>
      </c>
      <c r="D9" t="s">
        <v>4</v>
      </c>
    </row>
    <row r="10" spans="1:4" x14ac:dyDescent="0.25">
      <c r="A10">
        <v>12</v>
      </c>
      <c r="B10">
        <v>2024</v>
      </c>
      <c r="C10" t="str">
        <f t="shared" si="0"/>
        <v>122024</v>
      </c>
      <c r="D10" t="s">
        <v>4</v>
      </c>
    </row>
    <row r="11" spans="1:4" x14ac:dyDescent="0.25">
      <c r="A11">
        <v>1</v>
      </c>
      <c r="B11">
        <v>2025</v>
      </c>
      <c r="C11" t="str">
        <f t="shared" si="0"/>
        <v>12025</v>
      </c>
      <c r="D11" t="s">
        <v>4</v>
      </c>
    </row>
    <row r="12" spans="1:4" x14ac:dyDescent="0.25">
      <c r="A12">
        <v>2</v>
      </c>
      <c r="B12">
        <v>2025</v>
      </c>
      <c r="C12" t="str">
        <f t="shared" si="0"/>
        <v>22025</v>
      </c>
      <c r="D12" t="s">
        <v>4</v>
      </c>
    </row>
    <row r="13" spans="1:4" x14ac:dyDescent="0.25">
      <c r="A13">
        <v>3</v>
      </c>
      <c r="B13">
        <v>2025</v>
      </c>
      <c r="C13" t="str">
        <f t="shared" si="0"/>
        <v>32025</v>
      </c>
      <c r="D13" t="s">
        <v>4</v>
      </c>
    </row>
    <row r="14" spans="1:4" x14ac:dyDescent="0.25">
      <c r="A14">
        <v>4</v>
      </c>
      <c r="B14">
        <v>2025</v>
      </c>
      <c r="C14" t="str">
        <f t="shared" si="0"/>
        <v>42025</v>
      </c>
      <c r="D14" t="s">
        <v>5</v>
      </c>
    </row>
    <row r="15" spans="1:4" x14ac:dyDescent="0.25">
      <c r="A15">
        <v>5</v>
      </c>
      <c r="B15">
        <v>2025</v>
      </c>
      <c r="C15" t="str">
        <f t="shared" si="0"/>
        <v>52025</v>
      </c>
      <c r="D15" t="s">
        <v>5</v>
      </c>
    </row>
    <row r="16" spans="1:4" x14ac:dyDescent="0.25">
      <c r="A16">
        <v>6</v>
      </c>
      <c r="B16">
        <v>2025</v>
      </c>
      <c r="C16" t="str">
        <f t="shared" si="0"/>
        <v>62025</v>
      </c>
      <c r="D16" t="s">
        <v>5</v>
      </c>
    </row>
    <row r="17" spans="1:4" x14ac:dyDescent="0.25">
      <c r="A17">
        <v>7</v>
      </c>
      <c r="B17">
        <v>2025</v>
      </c>
      <c r="C17" t="str">
        <f t="shared" si="0"/>
        <v>72025</v>
      </c>
      <c r="D17" t="s">
        <v>5</v>
      </c>
    </row>
    <row r="18" spans="1:4" x14ac:dyDescent="0.25">
      <c r="A18">
        <v>8</v>
      </c>
      <c r="B18">
        <v>2025</v>
      </c>
      <c r="C18" t="str">
        <f t="shared" si="0"/>
        <v>82025</v>
      </c>
      <c r="D18" t="s">
        <v>5</v>
      </c>
    </row>
    <row r="19" spans="1:4" x14ac:dyDescent="0.25">
      <c r="A19">
        <v>9</v>
      </c>
      <c r="B19">
        <v>2025</v>
      </c>
      <c r="C19" t="str">
        <f t="shared" si="0"/>
        <v>92025</v>
      </c>
      <c r="D19" t="s">
        <v>5</v>
      </c>
    </row>
    <row r="20" spans="1:4" x14ac:dyDescent="0.25">
      <c r="A20">
        <v>10</v>
      </c>
      <c r="B20">
        <v>2025</v>
      </c>
      <c r="C20" t="str">
        <f t="shared" si="0"/>
        <v>102025</v>
      </c>
      <c r="D20" t="s">
        <v>5</v>
      </c>
    </row>
    <row r="21" spans="1:4" x14ac:dyDescent="0.25">
      <c r="A21">
        <v>11</v>
      </c>
      <c r="B21">
        <v>2025</v>
      </c>
      <c r="C21" t="str">
        <f t="shared" si="0"/>
        <v>112025</v>
      </c>
      <c r="D21" t="s">
        <v>5</v>
      </c>
    </row>
    <row r="22" spans="1:4" x14ac:dyDescent="0.25">
      <c r="A22">
        <v>12</v>
      </c>
      <c r="B22">
        <v>2025</v>
      </c>
      <c r="C22" t="str">
        <f t="shared" si="0"/>
        <v>122025</v>
      </c>
      <c r="D22" t="s">
        <v>5</v>
      </c>
    </row>
    <row r="23" spans="1:4" x14ac:dyDescent="0.25">
      <c r="A23">
        <v>1</v>
      </c>
      <c r="B23">
        <v>2026</v>
      </c>
      <c r="C23" t="str">
        <f t="shared" si="0"/>
        <v>12026</v>
      </c>
      <c r="D23" t="s">
        <v>5</v>
      </c>
    </row>
    <row r="24" spans="1:4" x14ac:dyDescent="0.25">
      <c r="A24">
        <v>2</v>
      </c>
      <c r="B24">
        <v>2026</v>
      </c>
      <c r="C24" t="str">
        <f t="shared" si="0"/>
        <v>22026</v>
      </c>
      <c r="D24" t="s">
        <v>5</v>
      </c>
    </row>
    <row r="25" spans="1:4" x14ac:dyDescent="0.25">
      <c r="A25">
        <v>3</v>
      </c>
      <c r="B25">
        <v>2026</v>
      </c>
      <c r="C25" t="str">
        <f t="shared" si="0"/>
        <v>32026</v>
      </c>
      <c r="D25" t="s">
        <v>5</v>
      </c>
    </row>
    <row r="26" spans="1:4" x14ac:dyDescent="0.25">
      <c r="A26">
        <v>4</v>
      </c>
      <c r="B26">
        <v>2026</v>
      </c>
      <c r="C26" t="str">
        <f t="shared" si="0"/>
        <v>42026</v>
      </c>
      <c r="D26" t="s">
        <v>6</v>
      </c>
    </row>
    <row r="27" spans="1:4" x14ac:dyDescent="0.25">
      <c r="A27">
        <v>5</v>
      </c>
      <c r="B27">
        <v>2026</v>
      </c>
      <c r="C27" t="str">
        <f t="shared" si="0"/>
        <v>52026</v>
      </c>
      <c r="D27" t="s">
        <v>6</v>
      </c>
    </row>
    <row r="28" spans="1:4" x14ac:dyDescent="0.25">
      <c r="A28">
        <v>6</v>
      </c>
      <c r="B28">
        <v>2026</v>
      </c>
      <c r="C28" t="str">
        <f t="shared" si="0"/>
        <v>62026</v>
      </c>
      <c r="D28" t="s">
        <v>6</v>
      </c>
    </row>
    <row r="29" spans="1:4" x14ac:dyDescent="0.25">
      <c r="A29">
        <v>7</v>
      </c>
      <c r="B29">
        <v>2026</v>
      </c>
      <c r="C29" t="str">
        <f t="shared" si="0"/>
        <v>72026</v>
      </c>
      <c r="D29" t="s">
        <v>6</v>
      </c>
    </row>
    <row r="30" spans="1:4" x14ac:dyDescent="0.25">
      <c r="A30">
        <v>8</v>
      </c>
      <c r="B30">
        <v>2026</v>
      </c>
      <c r="C30" t="str">
        <f t="shared" si="0"/>
        <v>82026</v>
      </c>
      <c r="D30" t="s">
        <v>6</v>
      </c>
    </row>
    <row r="31" spans="1:4" x14ac:dyDescent="0.25">
      <c r="A31">
        <v>9</v>
      </c>
      <c r="B31">
        <v>2026</v>
      </c>
      <c r="C31" t="str">
        <f t="shared" si="0"/>
        <v>92026</v>
      </c>
      <c r="D31" t="s">
        <v>6</v>
      </c>
    </row>
    <row r="32" spans="1:4" x14ac:dyDescent="0.25">
      <c r="A32">
        <v>10</v>
      </c>
      <c r="B32">
        <v>2026</v>
      </c>
      <c r="C32" t="str">
        <f t="shared" si="0"/>
        <v>102026</v>
      </c>
      <c r="D32" t="s">
        <v>6</v>
      </c>
    </row>
    <row r="33" spans="1:4" x14ac:dyDescent="0.25">
      <c r="A33">
        <v>11</v>
      </c>
      <c r="B33">
        <v>2026</v>
      </c>
      <c r="C33" t="str">
        <f t="shared" si="0"/>
        <v>112026</v>
      </c>
      <c r="D33" t="s">
        <v>6</v>
      </c>
    </row>
    <row r="34" spans="1:4" x14ac:dyDescent="0.25">
      <c r="A34">
        <v>12</v>
      </c>
      <c r="B34">
        <v>2026</v>
      </c>
      <c r="C34" t="str">
        <f t="shared" si="0"/>
        <v>122026</v>
      </c>
      <c r="D34" t="s">
        <v>6</v>
      </c>
    </row>
    <row r="35" spans="1:4" x14ac:dyDescent="0.25">
      <c r="A35">
        <v>1</v>
      </c>
      <c r="B35">
        <v>2027</v>
      </c>
      <c r="C35" t="str">
        <f t="shared" si="0"/>
        <v>12027</v>
      </c>
      <c r="D35" t="s">
        <v>7</v>
      </c>
    </row>
    <row r="36" spans="1:4" x14ac:dyDescent="0.25">
      <c r="A36">
        <v>2</v>
      </c>
      <c r="B36">
        <v>2027</v>
      </c>
      <c r="C36" t="str">
        <f t="shared" si="0"/>
        <v>22027</v>
      </c>
      <c r="D36" t="s">
        <v>7</v>
      </c>
    </row>
    <row r="37" spans="1:4" x14ac:dyDescent="0.25">
      <c r="A37">
        <v>3</v>
      </c>
      <c r="B37">
        <v>2027</v>
      </c>
      <c r="C37" t="str">
        <f t="shared" si="0"/>
        <v>32027</v>
      </c>
      <c r="D37" t="s">
        <v>7</v>
      </c>
    </row>
    <row r="38" spans="1:4" x14ac:dyDescent="0.25">
      <c r="A38">
        <v>4</v>
      </c>
      <c r="B38">
        <v>2027</v>
      </c>
      <c r="C38" t="str">
        <f t="shared" si="0"/>
        <v>42027</v>
      </c>
      <c r="D38" t="s">
        <v>7</v>
      </c>
    </row>
    <row r="39" spans="1:4" x14ac:dyDescent="0.25">
      <c r="A39">
        <v>5</v>
      </c>
      <c r="B39">
        <v>2027</v>
      </c>
      <c r="C39" t="str">
        <f t="shared" si="0"/>
        <v>52027</v>
      </c>
      <c r="D39" t="s">
        <v>7</v>
      </c>
    </row>
    <row r="40" spans="1:4" x14ac:dyDescent="0.25">
      <c r="A40">
        <v>6</v>
      </c>
      <c r="B40">
        <v>2027</v>
      </c>
      <c r="C40" t="str">
        <f t="shared" si="0"/>
        <v>62027</v>
      </c>
      <c r="D40" t="s">
        <v>7</v>
      </c>
    </row>
    <row r="41" spans="1:4" x14ac:dyDescent="0.25">
      <c r="A41">
        <v>7</v>
      </c>
      <c r="B41">
        <v>2027</v>
      </c>
      <c r="C41" t="str">
        <f t="shared" si="0"/>
        <v>72027</v>
      </c>
      <c r="D41" t="s">
        <v>7</v>
      </c>
    </row>
    <row r="42" spans="1:4" x14ac:dyDescent="0.25">
      <c r="A42">
        <v>8</v>
      </c>
      <c r="B42">
        <v>2027</v>
      </c>
      <c r="C42" t="str">
        <f t="shared" si="0"/>
        <v>82027</v>
      </c>
      <c r="D42" t="s">
        <v>7</v>
      </c>
    </row>
    <row r="43" spans="1:4" x14ac:dyDescent="0.25">
      <c r="A43">
        <v>9</v>
      </c>
      <c r="B43">
        <v>2027</v>
      </c>
      <c r="C43" t="str">
        <f t="shared" si="0"/>
        <v>92027</v>
      </c>
      <c r="D43" t="s">
        <v>7</v>
      </c>
    </row>
    <row r="44" spans="1:4" x14ac:dyDescent="0.25">
      <c r="A44">
        <v>10</v>
      </c>
      <c r="B44">
        <v>2027</v>
      </c>
      <c r="C44" t="str">
        <f t="shared" si="0"/>
        <v>102027</v>
      </c>
      <c r="D44" t="s">
        <v>7</v>
      </c>
    </row>
    <row r="45" spans="1:4" x14ac:dyDescent="0.25">
      <c r="A45">
        <v>11</v>
      </c>
      <c r="B45">
        <v>2027</v>
      </c>
      <c r="C45" t="str">
        <f t="shared" si="0"/>
        <v>112027</v>
      </c>
      <c r="D45" t="s">
        <v>7</v>
      </c>
    </row>
    <row r="46" spans="1:4" x14ac:dyDescent="0.25">
      <c r="A46">
        <v>12</v>
      </c>
      <c r="B46">
        <v>2027</v>
      </c>
      <c r="C46" t="str">
        <f t="shared" si="0"/>
        <v>122027</v>
      </c>
      <c r="D46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8CFEC-E0B6-4358-AC70-273808A6AB11}">
  <dimension ref="A1:D22"/>
  <sheetViews>
    <sheetView workbookViewId="0">
      <selection activeCell="A16" sqref="A16"/>
    </sheetView>
  </sheetViews>
  <sheetFormatPr defaultRowHeight="15" x14ac:dyDescent="0.25"/>
  <cols>
    <col min="1" max="1" width="59.85546875" bestFit="1" customWidth="1"/>
  </cols>
  <sheetData>
    <row r="1" spans="1:4" x14ac:dyDescent="0.25">
      <c r="A1" s="1" t="s">
        <v>8</v>
      </c>
      <c r="D1" s="1" t="s">
        <v>10</v>
      </c>
    </row>
    <row r="2" spans="1:4" x14ac:dyDescent="0.25">
      <c r="A2" s="4" t="s">
        <v>33</v>
      </c>
      <c r="B2" t="s">
        <v>9</v>
      </c>
      <c r="D2" s="4" t="s">
        <v>11</v>
      </c>
    </row>
    <row r="3" spans="1:4" x14ac:dyDescent="0.25">
      <c r="A3" s="4" t="s">
        <v>32</v>
      </c>
      <c r="B3" t="s">
        <v>9</v>
      </c>
    </row>
    <row r="4" spans="1:4" x14ac:dyDescent="0.25">
      <c r="A4" s="4" t="s">
        <v>34</v>
      </c>
      <c r="B4" t="s">
        <v>9</v>
      </c>
      <c r="D4" s="1" t="s">
        <v>12</v>
      </c>
    </row>
    <row r="5" spans="1:4" x14ac:dyDescent="0.25">
      <c r="A5" s="4"/>
      <c r="D5" t="s">
        <v>13</v>
      </c>
    </row>
    <row r="6" spans="1:4" x14ac:dyDescent="0.25">
      <c r="A6" s="4"/>
    </row>
    <row r="7" spans="1:4" x14ac:dyDescent="0.25">
      <c r="A7" s="4"/>
      <c r="D7" s="1" t="s">
        <v>10</v>
      </c>
    </row>
    <row r="8" spans="1:4" x14ac:dyDescent="0.25">
      <c r="A8" s="4"/>
      <c r="D8" s="4" t="s">
        <v>14</v>
      </c>
    </row>
    <row r="9" spans="1:4" x14ac:dyDescent="0.25">
      <c r="A9" s="4"/>
    </row>
    <row r="10" spans="1:4" x14ac:dyDescent="0.25">
      <c r="A10" s="4"/>
      <c r="D10" s="1" t="s">
        <v>15</v>
      </c>
    </row>
    <row r="11" spans="1:4" x14ac:dyDescent="0.25">
      <c r="A11" s="4"/>
      <c r="D11" t="s">
        <v>16</v>
      </c>
    </row>
    <row r="12" spans="1:4" x14ac:dyDescent="0.25">
      <c r="A12" s="4"/>
    </row>
    <row r="13" spans="1:4" x14ac:dyDescent="0.25">
      <c r="A13" s="4"/>
    </row>
    <row r="14" spans="1:4" x14ac:dyDescent="0.25">
      <c r="A14" s="4"/>
    </row>
    <row r="15" spans="1:4" x14ac:dyDescent="0.25">
      <c r="A15" s="4"/>
    </row>
    <row r="16" spans="1:4" x14ac:dyDescent="0.25">
      <c r="A16" s="4"/>
    </row>
    <row r="17" spans="1:1" x14ac:dyDescent="0.25">
      <c r="A17" s="4"/>
    </row>
    <row r="18" spans="1:1" x14ac:dyDescent="0.25">
      <c r="A18" s="4"/>
    </row>
    <row r="19" spans="1:1" x14ac:dyDescent="0.25">
      <c r="A19" s="4"/>
    </row>
    <row r="20" spans="1:1" x14ac:dyDescent="0.25">
      <c r="A20" s="4"/>
    </row>
    <row r="21" spans="1:1" x14ac:dyDescent="0.25">
      <c r="A21" s="4"/>
    </row>
    <row r="22" spans="1:1" x14ac:dyDescent="0.25">
      <c r="A22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E453E-D4A7-4698-BF9B-06F508BB2DBA}">
  <dimension ref="A1:G15"/>
  <sheetViews>
    <sheetView workbookViewId="0">
      <selection activeCell="F3" sqref="F3"/>
    </sheetView>
  </sheetViews>
  <sheetFormatPr defaultRowHeight="15" x14ac:dyDescent="0.25"/>
  <cols>
    <col min="1" max="1" width="14.140625" bestFit="1" customWidth="1"/>
    <col min="2" max="2" width="25.140625" bestFit="1" customWidth="1"/>
    <col min="4" max="4" width="6.85546875" bestFit="1" customWidth="1"/>
    <col min="5" max="5" width="5" bestFit="1" customWidth="1"/>
    <col min="6" max="6" width="15.28515625" bestFit="1" customWidth="1"/>
    <col min="7" max="7" width="13.28515625" bestFit="1" customWidth="1"/>
  </cols>
  <sheetData>
    <row r="1" spans="1:7" x14ac:dyDescent="0.25">
      <c r="A1" s="6" t="s">
        <v>17</v>
      </c>
      <c r="B1" s="6" t="s">
        <v>18</v>
      </c>
      <c r="C1" s="6" t="s">
        <v>19</v>
      </c>
      <c r="D1" s="2" t="s">
        <v>0</v>
      </c>
      <c r="E1" s="2" t="s">
        <v>1</v>
      </c>
      <c r="F1" s="6" t="s">
        <v>20</v>
      </c>
      <c r="G1" s="3" t="s">
        <v>21</v>
      </c>
    </row>
    <row r="2" spans="1:7" x14ac:dyDescent="0.25">
      <c r="A2" t="s">
        <v>22</v>
      </c>
      <c r="B2" t="s">
        <v>35</v>
      </c>
      <c r="C2" s="7">
        <v>46199</v>
      </c>
      <c r="D2" s="8">
        <v>6</v>
      </c>
      <c r="E2" s="8">
        <v>2026</v>
      </c>
      <c r="F2" t="s">
        <v>47</v>
      </c>
      <c r="G2" s="9">
        <v>7045.5</v>
      </c>
    </row>
    <row r="3" spans="1:7" x14ac:dyDescent="0.25">
      <c r="A3" t="s">
        <v>22</v>
      </c>
      <c r="B3" t="s">
        <v>36</v>
      </c>
      <c r="C3" s="7">
        <v>46200</v>
      </c>
      <c r="D3">
        <v>7</v>
      </c>
      <c r="E3">
        <v>2026</v>
      </c>
      <c r="F3" t="s">
        <v>47</v>
      </c>
      <c r="G3">
        <v>49318.5</v>
      </c>
    </row>
    <row r="4" spans="1:7" x14ac:dyDescent="0.25">
      <c r="A4" t="s">
        <v>22</v>
      </c>
      <c r="B4" t="s">
        <v>37</v>
      </c>
      <c r="C4" s="7">
        <v>46201</v>
      </c>
      <c r="D4">
        <v>12</v>
      </c>
      <c r="E4">
        <v>2026</v>
      </c>
      <c r="F4" t="s">
        <v>47</v>
      </c>
      <c r="G4">
        <v>63409.5</v>
      </c>
    </row>
    <row r="5" spans="1:7" x14ac:dyDescent="0.25">
      <c r="A5" t="s">
        <v>22</v>
      </c>
      <c r="B5" t="s">
        <v>38</v>
      </c>
      <c r="C5" s="7">
        <v>46202</v>
      </c>
      <c r="D5">
        <v>8</v>
      </c>
      <c r="E5">
        <v>2026</v>
      </c>
      <c r="F5" t="s">
        <v>48</v>
      </c>
      <c r="G5">
        <v>3200</v>
      </c>
    </row>
    <row r="6" spans="1:7" x14ac:dyDescent="0.25">
      <c r="A6" t="s">
        <v>22</v>
      </c>
      <c r="B6" t="s">
        <v>39</v>
      </c>
      <c r="C6" s="7">
        <v>46203</v>
      </c>
      <c r="D6">
        <v>8</v>
      </c>
      <c r="E6">
        <v>2026</v>
      </c>
      <c r="F6" t="s">
        <v>48</v>
      </c>
      <c r="G6">
        <v>2500</v>
      </c>
    </row>
    <row r="7" spans="1:7" x14ac:dyDescent="0.25">
      <c r="A7" t="s">
        <v>22</v>
      </c>
      <c r="B7" t="s">
        <v>23</v>
      </c>
      <c r="C7" s="7">
        <v>46204</v>
      </c>
      <c r="D7">
        <v>8</v>
      </c>
      <c r="E7">
        <v>2026</v>
      </c>
      <c r="F7" t="s">
        <v>48</v>
      </c>
      <c r="G7">
        <v>9300</v>
      </c>
    </row>
    <row r="8" spans="1:7" x14ac:dyDescent="0.25">
      <c r="A8" t="s">
        <v>22</v>
      </c>
      <c r="B8" t="s">
        <v>40</v>
      </c>
      <c r="C8" s="7">
        <v>46205</v>
      </c>
      <c r="D8">
        <v>12</v>
      </c>
      <c r="E8">
        <v>2026</v>
      </c>
      <c r="F8" t="s">
        <v>48</v>
      </c>
      <c r="G8">
        <v>24489.59</v>
      </c>
    </row>
    <row r="9" spans="1:7" x14ac:dyDescent="0.25">
      <c r="A9" t="s">
        <v>22</v>
      </c>
      <c r="B9" t="s">
        <v>41</v>
      </c>
      <c r="C9" s="7">
        <v>46206</v>
      </c>
      <c r="D9">
        <v>8</v>
      </c>
      <c r="E9">
        <v>2026</v>
      </c>
      <c r="F9" t="s">
        <v>49</v>
      </c>
      <c r="G9">
        <v>52318.784</v>
      </c>
    </row>
    <row r="10" spans="1:7" x14ac:dyDescent="0.25">
      <c r="A10" t="s">
        <v>22</v>
      </c>
      <c r="B10" t="s">
        <v>42</v>
      </c>
      <c r="C10" s="7">
        <v>46207</v>
      </c>
      <c r="D10">
        <v>10</v>
      </c>
      <c r="E10">
        <v>2026</v>
      </c>
      <c r="F10" t="s">
        <v>49</v>
      </c>
      <c r="G10">
        <v>37370.559999999998</v>
      </c>
    </row>
    <row r="11" spans="1:7" x14ac:dyDescent="0.25">
      <c r="A11" t="s">
        <v>22</v>
      </c>
      <c r="B11" t="s">
        <v>24</v>
      </c>
      <c r="C11" s="7">
        <v>46208</v>
      </c>
      <c r="D11">
        <v>3</v>
      </c>
      <c r="E11">
        <v>2027</v>
      </c>
      <c r="F11" t="s">
        <v>48</v>
      </c>
      <c r="G11">
        <v>49750</v>
      </c>
    </row>
    <row r="12" spans="1:7" x14ac:dyDescent="0.25">
      <c r="A12" t="s">
        <v>25</v>
      </c>
      <c r="B12" t="s">
        <v>43</v>
      </c>
      <c r="C12" s="7">
        <v>46209</v>
      </c>
      <c r="D12">
        <v>12</v>
      </c>
      <c r="E12">
        <v>2026</v>
      </c>
      <c r="F12" t="s">
        <v>50</v>
      </c>
      <c r="G12">
        <v>230000</v>
      </c>
    </row>
    <row r="13" spans="1:7" x14ac:dyDescent="0.25">
      <c r="A13" t="s">
        <v>25</v>
      </c>
      <c r="B13" t="s">
        <v>44</v>
      </c>
      <c r="C13" s="7">
        <v>46210</v>
      </c>
      <c r="D13">
        <v>12</v>
      </c>
      <c r="E13">
        <v>2026</v>
      </c>
      <c r="F13" t="s">
        <v>51</v>
      </c>
      <c r="G13">
        <v>17517.449999999997</v>
      </c>
    </row>
    <row r="14" spans="1:7" x14ac:dyDescent="0.25">
      <c r="A14" t="s">
        <v>25</v>
      </c>
      <c r="B14" t="s">
        <v>45</v>
      </c>
      <c r="C14" s="7">
        <v>46211</v>
      </c>
      <c r="D14">
        <v>12</v>
      </c>
      <c r="E14">
        <v>2026</v>
      </c>
      <c r="F14" t="s">
        <v>52</v>
      </c>
      <c r="G14">
        <v>29195.749999999996</v>
      </c>
    </row>
    <row r="15" spans="1:7" x14ac:dyDescent="0.25">
      <c r="A15" t="s">
        <v>25</v>
      </c>
      <c r="B15" t="s">
        <v>46</v>
      </c>
      <c r="C15" s="7">
        <v>46212</v>
      </c>
      <c r="D15">
        <v>12</v>
      </c>
      <c r="E15">
        <v>2026</v>
      </c>
      <c r="F15" t="s">
        <v>48</v>
      </c>
      <c r="G15">
        <v>24000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5AE2B-E4F4-4B0E-B716-B19A43B03FA7}">
  <dimension ref="A1:J4"/>
  <sheetViews>
    <sheetView workbookViewId="0">
      <selection activeCell="F12" sqref="F12"/>
    </sheetView>
  </sheetViews>
  <sheetFormatPr defaultRowHeight="15" x14ac:dyDescent="0.25"/>
  <cols>
    <col min="1" max="1" width="14.140625" bestFit="1" customWidth="1"/>
    <col min="2" max="2" width="57.85546875" bestFit="1" customWidth="1"/>
    <col min="4" max="4" width="6.85546875" bestFit="1" customWidth="1"/>
    <col min="5" max="5" width="5" bestFit="1" customWidth="1"/>
    <col min="6" max="6" width="38.7109375" bestFit="1" customWidth="1"/>
    <col min="7" max="7" width="13.28515625" bestFit="1" customWidth="1"/>
  </cols>
  <sheetData>
    <row r="1" spans="1:10" x14ac:dyDescent="0.25">
      <c r="A1" s="12" t="s">
        <v>53</v>
      </c>
      <c r="B1" s="13" t="s">
        <v>54</v>
      </c>
      <c r="C1" s="2" t="s">
        <v>0</v>
      </c>
      <c r="D1" s="2" t="s">
        <v>1</v>
      </c>
      <c r="E1" s="3"/>
      <c r="F1" s="3" t="s">
        <v>55</v>
      </c>
      <c r="G1" s="12" t="s">
        <v>56</v>
      </c>
      <c r="H1" s="6" t="s">
        <v>57</v>
      </c>
      <c r="I1" s="6" t="s">
        <v>58</v>
      </c>
      <c r="J1" s="6" t="s">
        <v>59</v>
      </c>
    </row>
    <row r="2" spans="1:10" x14ac:dyDescent="0.25">
      <c r="A2" s="14" t="s">
        <v>60</v>
      </c>
      <c r="B2" s="15" t="s">
        <v>62</v>
      </c>
      <c r="C2" s="16">
        <v>9</v>
      </c>
      <c r="D2" s="16">
        <v>2026</v>
      </c>
      <c r="F2" s="16" t="s">
        <v>9</v>
      </c>
      <c r="G2" s="16" t="s">
        <v>63</v>
      </c>
      <c r="H2" s="17">
        <f>$N$8*R15</f>
        <v>0</v>
      </c>
      <c r="I2" s="16" t="s">
        <v>61</v>
      </c>
      <c r="J2" s="9"/>
    </row>
    <row r="3" spans="1:10" x14ac:dyDescent="0.25">
      <c r="A3" s="14" t="s">
        <v>60</v>
      </c>
      <c r="B3" s="15" t="s">
        <v>62</v>
      </c>
      <c r="C3" s="16">
        <v>10</v>
      </c>
      <c r="D3" s="16">
        <v>2026</v>
      </c>
      <c r="F3" s="16" t="s">
        <v>9</v>
      </c>
      <c r="G3" s="16" t="s">
        <v>63</v>
      </c>
      <c r="H3" s="17">
        <f>$N$8*R16</f>
        <v>0</v>
      </c>
      <c r="I3" s="16" t="s">
        <v>61</v>
      </c>
      <c r="J3" s="9"/>
    </row>
    <row r="4" spans="1:10" x14ac:dyDescent="0.25">
      <c r="A4" s="14" t="s">
        <v>60</v>
      </c>
      <c r="B4" s="15" t="s">
        <v>62</v>
      </c>
      <c r="C4" s="16">
        <v>11</v>
      </c>
      <c r="D4" s="16">
        <v>2026</v>
      </c>
      <c r="F4" s="16" t="s">
        <v>9</v>
      </c>
      <c r="G4" s="16" t="s">
        <v>63</v>
      </c>
      <c r="H4" s="17">
        <f t="shared" ref="H4" si="0">$N$8*R17</f>
        <v>0</v>
      </c>
      <c r="I4" s="16" t="s">
        <v>61</v>
      </c>
      <c r="J4" s="9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527E2-5350-4E00-BA6D-9434345D39F9}">
  <dimension ref="A1:C4"/>
  <sheetViews>
    <sheetView tabSelected="1" workbookViewId="0">
      <selection activeCell="C6" sqref="C6"/>
    </sheetView>
  </sheetViews>
  <sheetFormatPr defaultRowHeight="15" x14ac:dyDescent="0.25"/>
  <cols>
    <col min="1" max="1" width="6" bestFit="1" customWidth="1"/>
    <col min="2" max="2" width="18.5703125" bestFit="1" customWidth="1"/>
    <col min="3" max="3" width="11.85546875" bestFit="1" customWidth="1"/>
  </cols>
  <sheetData>
    <row r="1" spans="1:3" x14ac:dyDescent="0.25">
      <c r="A1" s="18" t="s">
        <v>65</v>
      </c>
      <c r="B1" s="19" t="s">
        <v>66</v>
      </c>
      <c r="C1" s="19" t="s">
        <v>67</v>
      </c>
    </row>
    <row r="2" spans="1:3" x14ac:dyDescent="0.25">
      <c r="A2">
        <v>380</v>
      </c>
      <c r="B2" t="s">
        <v>68</v>
      </c>
    </row>
    <row r="3" spans="1:3" x14ac:dyDescent="0.25">
      <c r="A3">
        <v>23814</v>
      </c>
      <c r="B3" t="s">
        <v>70</v>
      </c>
    </row>
    <row r="4" spans="1:3" x14ac:dyDescent="0.25">
      <c r="A4">
        <v>35336</v>
      </c>
      <c r="B4" t="s">
        <v>71</v>
      </c>
      <c r="C4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FX</vt:lpstr>
      <vt:lpstr>AOP</vt:lpstr>
      <vt:lpstr>OrderType</vt:lpstr>
      <vt:lpstr>NRCs</vt:lpstr>
      <vt:lpstr>OtherForcast</vt:lpstr>
      <vt:lpstr>ProductLine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Dvs</dc:creator>
  <cp:lastModifiedBy>Dvs</cp:lastModifiedBy>
  <dcterms:created xsi:type="dcterms:W3CDTF">2015-06-05T18:17:20Z</dcterms:created>
  <dcterms:modified xsi:type="dcterms:W3CDTF">2026-09-03T15:07:06Z</dcterms:modified>
</cp:coreProperties>
</file>